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<sst xmlns="http://schemas.openxmlformats.org/spreadsheetml/2006/main" count="45" uniqueCount="36">
  <si>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年份</t>
  </si>
  <si>
    <t>类型</t>
  </si>
  <si>
    <t>数量</t>
  </si>
  <si>
    <t>比例</t>
  </si>
  <si>
    <t>月份</t>
  </si>
  <si>
    <t>未开始</t>
  </si>
  <si>
    <t>今天</t>
  </si>
  <si>
    <t>进行中</t>
  </si>
  <si>
    <t>未逾期</t>
  </si>
  <si>
    <t>已完成</t>
  </si>
  <si>
    <t>已逾期</t>
  </si>
  <si>
    <t>合计</t>
  </si>
  <si>
    <t>项目计划</t>
  </si>
  <si>
    <t>项目进度</t>
  </si>
  <si>
    <t>8月</t>
  </si>
  <si>
    <t>序号</t>
  </si>
  <si>
    <t>项目名称</t>
  </si>
  <si>
    <t>任务</t>
  </si>
  <si>
    <t>开始日期</t>
  </si>
  <si>
    <t>结束日期</t>
  </si>
  <si>
    <t>天数</t>
  </si>
  <si>
    <t>完成进度</t>
  </si>
  <si>
    <t>当前状态</t>
  </si>
  <si>
    <t>是否
完成</t>
  </si>
  <si>
    <t>是否超期</t>
  </si>
  <si>
    <t>语言与框架筑基</t>
  </si>
  <si>
    <t>刘二大人Pytorch基础</t>
  </si>
  <si>
    <t>Python语法练习</t>
  </si>
  <si>
    <t>LeetCode</t>
  </si>
  <si>
    <t>精选面试150</t>
  </si>
  <si>
    <t>英语</t>
  </si>
  <si>
    <t>1000单词</t>
  </si>
  <si>
    <t>裂变方案</t>
  </si>
  <si>
    <t>营销包装</t>
  </si>
  <si>
    <t>活动筹备</t>
  </si>
  <si>
    <t>上线迭代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</si>
</sst>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);[Red]\(0\)"/>
    <numFmt numFmtId="178" formatCode="d"/>
  </numFmts>
  <fonts count="37">
    <font>
      <sz val="11"/>
      <color theme="1"/>
      <name val="宋体"/>
      <charset val="134"/>
      <scheme val="minor"/>
    </font>
    <font>
      <sz val="11"/>
      <color theme="1"/>
      <name val="思源黑体 Medium"/>
      <charset val="134"/>
    </font>
    <font>
      <sz val="12"/>
      <color theme="1"/>
      <name val="思源黑体 Medium"/>
      <charset val="134"/>
    </font>
    <font>
      <sz val="10"/>
      <color theme="1"/>
      <name val="思源黑体 Medium"/>
      <charset val="134"/>
    </font>
    <font>
      <b/>
      <sz val="14"/>
      <color theme="1"/>
      <name val="思源黑体 Heavy"/>
      <charset val="134"/>
    </font>
    <font>
      <b/>
      <sz val="14"/>
      <color theme="1"/>
      <name val="思源黑体 Medium"/>
      <charset val="134"/>
    </font>
    <font>
      <sz val="11"/>
      <color theme="1"/>
      <name val="宋体"/>
      <charset val="134"/>
    </font>
    <font>
      <sz val="11"/>
      <color theme="0"/>
      <name val="思源黑体 Medium"/>
      <charset val="134"/>
    </font>
    <font>
      <sz val="13"/>
      <name val="思源黑体 Heavy"/>
      <charset val="134"/>
    </font>
    <font>
      <sz val="13"/>
      <color theme="1"/>
      <name val="思源黑体 Heavy"/>
      <charset val="134"/>
    </font>
    <font>
      <sz val="11"/>
      <color theme="0"/>
      <name val="宋体"/>
      <charset val="134"/>
    </font>
    <font>
      <b/>
      <sz val="12"/>
      <color theme="1"/>
      <name val="思源黑体 Medium"/>
      <charset val="134"/>
    </font>
    <font>
      <sz val="10"/>
      <color theme="1"/>
      <name val="宋体"/>
      <charset val="134"/>
    </font>
    <font>
      <b/>
      <sz val="12"/>
      <color theme="1" tint="0.14996795556505"/>
      <name val="思源黑体 Medium"/>
      <charset val="134"/>
    </font>
    <font>
      <b/>
      <sz val="11"/>
      <color theme="1" tint="0.14996795556505"/>
      <name val="思源黑体 Medium"/>
      <charset val="134"/>
    </font>
    <font>
      <sz val="11"/>
      <color theme="1" tint="0.14996795556505"/>
      <name val="思源黑体 Medium"/>
      <charset val="134"/>
    </font>
    <font>
      <sz val="11"/>
      <name val="思源黑体 Medium"/>
      <charset val="134"/>
    </font>
    <font>
      <sz val="11"/>
      <color theme="1" tint="0.14996795556505"/>
      <name val="思源黑体 Heavy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9DDE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1" tint="0.249946592608417"/>
      </left>
      <right style="thin">
        <color theme="2" tint="-0.249946592608417"/>
      </right>
      <top style="thin">
        <color theme="1" tint="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1" tint="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1" tint="0.249946592608417"/>
      </right>
      <top style="thin">
        <color theme="1" tint="0.249946592608417"/>
      </top>
      <bottom style="thin">
        <color theme="2" tint="-0.249946592608417"/>
      </bottom>
      <diagonal/>
    </border>
    <border>
      <left style="thin">
        <color theme="1" tint="0.249946592608417"/>
      </left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1" tint="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1" tint="0.249946592608417"/>
      </left>
      <right style="thin">
        <color theme="2" tint="-0.249946592608417"/>
      </right>
      <top style="thin">
        <color theme="2" tint="-0.249946592608417"/>
      </top>
      <bottom/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/>
      <diagonal/>
    </border>
    <border>
      <left style="thin">
        <color theme="2" tint="-0.249946592608417"/>
      </left>
      <right style="thin">
        <color theme="1" tint="0.249946592608417"/>
      </right>
      <top style="thin">
        <color theme="2" tint="-0.249946592608417"/>
      </top>
      <bottom/>
      <diagonal/>
    </border>
    <border>
      <left style="thin">
        <color theme="1" tint="0.249946592608417"/>
      </left>
      <right style="thin">
        <color theme="2" tint="-0.249946592608417"/>
      </right>
      <top style="thin">
        <color theme="1" tint="0.249946592608417"/>
      </top>
      <bottom/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1" tint="0.249946592608417"/>
      </top>
      <bottom/>
      <diagonal/>
    </border>
    <border>
      <left style="thin">
        <color theme="1" tint="0.249946592608417"/>
      </left>
      <right style="thin">
        <color theme="2" tint="-0.249946592608417"/>
      </right>
      <top/>
      <bottom/>
      <diagonal/>
    </border>
    <border>
      <left style="thin">
        <color theme="2" tint="-0.249946592608417"/>
      </left>
      <right style="thin">
        <color theme="2" tint="-0.249946592608417"/>
      </right>
      <top/>
      <bottom/>
      <diagonal/>
    </border>
    <border>
      <left style="thin">
        <color theme="1" tint="0.249946592608417"/>
      </left>
      <right style="thin">
        <color theme="2" tint="-0.249946592608417"/>
      </right>
      <top style="thin">
        <color theme="2" tint="-0.249946592608417"/>
      </top>
      <bottom style="thin">
        <color theme="1" tint="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 style="thin">
        <color theme="1" tint="0.249946592608417"/>
      </bottom>
      <diagonal/>
    </border>
    <border>
      <left style="thin">
        <color theme="2" tint="-0.249946592608417"/>
      </left>
      <right style="thin">
        <color theme="1" tint="0.249946592608417"/>
      </right>
      <top style="thin">
        <color theme="2" tint="-0.249946592608417"/>
      </top>
      <bottom style="thin">
        <color theme="1" tint="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21" applyNumberFormat="0" applyAlignment="0" applyProtection="0">
      <alignment vertical="center"/>
    </xf>
    <xf numFmtId="0" fontId="27" fillId="3" borderId="22" applyNumberFormat="0" applyAlignment="0" applyProtection="0">
      <alignment vertical="center"/>
    </xf>
    <xf numFmtId="0" fontId="28" fillId="3" borderId="21" applyNumberFormat="0" applyAlignment="0" applyProtection="0">
      <alignment vertical="center"/>
    </xf>
    <xf numFmtId="0" fontId="29" fillId="6" borderId="23" applyNumberFormat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3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9" fillId="0" borderId="0" xfId="3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76" fontId="11" fillId="3" borderId="2" xfId="3" applyNumberFormat="1" applyFont="1" applyFill="1" applyBorder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178" fontId="13" fillId="2" borderId="2" xfId="0" applyNumberFormat="1" applyFont="1" applyFill="1" applyBorder="1" applyAlignment="1">
      <alignment horizontal="center" vertical="center"/>
    </xf>
    <xf numFmtId="178" fontId="14" fillId="2" borderId="7" xfId="0" applyNumberFormat="1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178" fontId="13" fillId="2" borderId="9" xfId="0" applyNumberFormat="1" applyFont="1" applyFill="1" applyBorder="1" applyAlignment="1">
      <alignment horizontal="center" vertical="center"/>
    </xf>
    <xf numFmtId="178" fontId="14" fillId="2" borderId="10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14" fontId="16" fillId="0" borderId="4" xfId="0" applyNumberFormat="1" applyFont="1" applyBorder="1" applyAlignment="1">
      <alignment horizontal="center" vertical="center"/>
    </xf>
    <xf numFmtId="177" fontId="16" fillId="0" borderId="4" xfId="0" applyNumberFormat="1" applyFont="1" applyBorder="1" applyAlignment="1">
      <alignment horizontal="center" vertical="center"/>
    </xf>
    <xf numFmtId="9" fontId="15" fillId="0" borderId="4" xfId="3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/>
    </xf>
    <xf numFmtId="9" fontId="15" fillId="0" borderId="2" xfId="3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9" fontId="15" fillId="0" borderId="4" xfId="3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9" fontId="15" fillId="0" borderId="2" xfId="3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4" fontId="15" fillId="0" borderId="16" xfId="0" applyNumberFormat="1" applyFont="1" applyBorder="1" applyAlignment="1">
      <alignment horizontal="center" vertical="center"/>
    </xf>
    <xf numFmtId="177" fontId="16" fillId="0" borderId="16" xfId="0" applyNumberFormat="1" applyFont="1" applyBorder="1" applyAlignment="1">
      <alignment horizontal="center" vertical="center"/>
    </xf>
    <xf numFmtId="9" fontId="15" fillId="0" borderId="16" xfId="3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color theme="1" tint="0.349986266670736"/>
      </font>
    </dxf>
    <dxf>
      <font>
        <color rgb="FFFDB22B"/>
      </font>
    </dxf>
    <dxf>
      <font>
        <color rgb="FF4B9E6E"/>
      </font>
      <fill>
        <patternFill patternType="none"/>
      </fill>
    </dxf>
    <dxf>
      <fill>
        <patternFill patternType="solid">
          <fgColor rgb="FFDFEEEA"/>
          <bgColor theme="8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4BC9A8"/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sheet1!$D$3:$D$5</c:f>
              <c:strCache>
                <c:ptCount val="3"/>
                <c:pt idx="0">
                  <c:v>未开始</c:v>
                </c:pt>
                <c:pt idx="1">
                  <c:v>进行中</c:v>
                </c:pt>
                <c:pt idx="2">
                  <c:v>已完成</c:v>
                </c:pt>
              </c:strCache>
            </c:strRef>
          </c:cat>
          <c:val>
            <c:numRef>
              <c:f>sheet1!$E$3:$E$5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5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5dfc20e-8489-4e6c-b7d6-a75fc8de712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85000"/>
              </a:schemeClr>
            </a:solidFill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75AAD1"/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sheet1!$S$4:$S$5</c:f>
              <c:strCache>
                <c:ptCount val="2"/>
                <c:pt idx="0">
                  <c:v>未逾期</c:v>
                </c:pt>
                <c:pt idx="1">
                  <c:v>已逾期</c:v>
                </c:pt>
              </c:strCache>
            </c:strRef>
          </c:cat>
          <c:val>
            <c:numRef>
              <c:f>sheet1!$T$4:$T$5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378c34-f396-4359-bf20-9d8feffab8d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481261</xdr:colOff>
      <xdr:row>1</xdr:row>
      <xdr:rowOff>210555</xdr:rowOff>
    </xdr:from>
    <xdr:to>
      <xdr:col>10</xdr:col>
      <xdr:colOff>170444</xdr:colOff>
      <xdr:row>6</xdr:row>
      <xdr:rowOff>148391</xdr:rowOff>
    </xdr:to>
    <xdr:graphicFrame>
      <xdr:nvGraphicFramePr>
        <xdr:cNvPr id="2" name="图表 1"/>
        <xdr:cNvGraphicFramePr/>
      </xdr:nvGraphicFramePr>
      <xdr:xfrm>
        <a:off x="7896860" y="492125"/>
        <a:ext cx="3067685" cy="1718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701845</xdr:colOff>
      <xdr:row>0</xdr:row>
      <xdr:rowOff>160420</xdr:rowOff>
    </xdr:from>
    <xdr:to>
      <xdr:col>9</xdr:col>
      <xdr:colOff>240631</xdr:colOff>
      <xdr:row>1</xdr:row>
      <xdr:rowOff>280736</xdr:rowOff>
    </xdr:to>
    <xdr:sp>
      <xdr:nvSpPr>
        <xdr:cNvPr id="3" name="文本框 2"/>
        <xdr:cNvSpPr txBox="1"/>
      </xdr:nvSpPr>
      <xdr:spPr>
        <a:xfrm>
          <a:off x="9015095" y="160020"/>
          <a:ext cx="1062355" cy="4025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 b="0">
              <a:latin typeface="思源黑体 Medium" panose="020B0600000000000000" pitchFamily="34" charset="-122"/>
              <a:ea typeface="思源黑体 Medium" panose="020B0600000000000000" pitchFamily="34" charset="-122"/>
            </a:rPr>
            <a:t>完成率</a:t>
          </a:r>
          <a:endParaRPr lang="zh-CN" altLang="en-US" sz="1400" b="0">
            <a:latin typeface="思源黑体 Medium" panose="020B0600000000000000" pitchFamily="34" charset="-122"/>
            <a:ea typeface="思源黑体 Medium" panose="020B0600000000000000" pitchFamily="34" charset="-122"/>
          </a:endParaRPr>
        </a:p>
      </xdr:txBody>
    </xdr:sp>
    <xdr:clientData/>
  </xdr:twoCellAnchor>
  <xdr:twoCellAnchor>
    <xdr:from>
      <xdr:col>9</xdr:col>
      <xdr:colOff>411079</xdr:colOff>
      <xdr:row>1</xdr:row>
      <xdr:rowOff>218575</xdr:rowOff>
    </xdr:from>
    <xdr:to>
      <xdr:col>18</xdr:col>
      <xdr:colOff>240632</xdr:colOff>
      <xdr:row>6</xdr:row>
      <xdr:rowOff>150395</xdr:rowOff>
    </xdr:to>
    <xdr:graphicFrame>
      <xdr:nvGraphicFramePr>
        <xdr:cNvPr id="4" name="图表 3"/>
        <xdr:cNvGraphicFramePr/>
      </xdr:nvGraphicFramePr>
      <xdr:xfrm>
        <a:off x="10248265" y="500380"/>
        <a:ext cx="3224530" cy="1712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52137</xdr:colOff>
      <xdr:row>0</xdr:row>
      <xdr:rowOff>172451</xdr:rowOff>
    </xdr:from>
    <xdr:to>
      <xdr:col>15</xdr:col>
      <xdr:colOff>100263</xdr:colOff>
      <xdr:row>1</xdr:row>
      <xdr:rowOff>350920</xdr:rowOff>
    </xdr:to>
    <xdr:sp>
      <xdr:nvSpPr>
        <xdr:cNvPr id="5" name="文本框 4"/>
        <xdr:cNvSpPr txBox="1"/>
      </xdr:nvSpPr>
      <xdr:spPr>
        <a:xfrm>
          <a:off x="11456035" y="172085"/>
          <a:ext cx="962025" cy="460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 b="0">
              <a:latin typeface="思源黑体 Medium" panose="020B0600000000000000" pitchFamily="34" charset="-122"/>
              <a:ea typeface="思源黑体 Medium" panose="020B0600000000000000" pitchFamily="34" charset="-122"/>
            </a:rPr>
            <a:t>超期率</a:t>
          </a:r>
          <a:endParaRPr lang="zh-CN" altLang="en-US" sz="1400" b="0">
            <a:latin typeface="思源黑体 Medium" panose="020B0600000000000000" pitchFamily="34" charset="-122"/>
            <a:ea typeface="思源黑体 Medium" panose="020B0600000000000000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2"/>
  <sheetViews>
    <sheetView showGridLines="0" tabSelected="1" zoomScale="70" zoomScaleNormal="70" workbookViewId="0">
      <pane xSplit="6" ySplit="10" topLeftCell="G11" activePane="bottomRight" state="frozen"/>
      <selection/>
      <selection pane="topRight"/>
      <selection pane="bottomLeft"/>
      <selection pane="bottomRight" activeCell="G15" sqref="G15"/>
    </sheetView>
  </sheetViews>
  <sheetFormatPr defaultColWidth="9.6036036036036" defaultRowHeight="12.4"/>
  <cols>
    <col min="1" max="1" width="15.7387387387387" style="3" customWidth="1"/>
    <col min="2" max="2" width="22.4594594594595" style="3" customWidth="1"/>
    <col min="3" max="3" width="20.5405405405405" style="3" customWidth="1"/>
    <col min="4" max="5" width="16.3333333333333" style="3" customWidth="1"/>
    <col min="6" max="6" width="13.8108108108108" style="3" customWidth="1"/>
    <col min="7" max="7" width="12.7297297297297" style="3" customWidth="1"/>
    <col min="8" max="8" width="11.1711711711712" style="3" customWidth="1"/>
    <col min="9" max="9" width="10.4504504504505" style="3" customWidth="1"/>
    <col min="10" max="10" width="13.5765765765766" style="3" customWidth="1"/>
    <col min="11" max="41" width="4.32432432432432" style="3" customWidth="1"/>
    <col min="42" max="72" width="4.17117117117117" style="3" customWidth="1"/>
    <col min="73" max="16384" width="9.6036036036036" style="3"/>
  </cols>
  <sheetData>
    <row r="1" ht="22.2" customHeight="1"/>
    <row r="2" s="1" customFormat="1" ht="28.05" customHeight="1" spans="1:72">
      <c r="A2" s="4" t="s">
        <v>0</v>
      </c>
      <c r="B2" s="5">
        <v>2026</v>
      </c>
      <c r="D2" s="6" t="s">
        <v>1</v>
      </c>
      <c r="E2" s="6" t="s">
        <v>2</v>
      </c>
      <c r="F2" s="6" t="s">
        <v>3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="1" customFormat="1" ht="28.05" customHeight="1" spans="1:72">
      <c r="A3" s="4" t="s">
        <v>4</v>
      </c>
      <c r="B3" s="5">
        <v>7</v>
      </c>
      <c r="C3" s="8"/>
      <c r="D3" s="9" t="s">
        <v>5</v>
      </c>
      <c r="E3" s="9">
        <f>COUNTIF($H$11:$H$18,D3)</f>
        <v>2</v>
      </c>
      <c r="F3" s="10">
        <f>E3/$E$6</f>
        <v>0.25</v>
      </c>
      <c r="G3" s="8"/>
      <c r="H3" s="11"/>
      <c r="I3" s="11"/>
      <c r="J3" s="8"/>
      <c r="K3" s="8"/>
      <c r="L3" s="8"/>
      <c r="M3" s="8"/>
      <c r="N3" s="8"/>
      <c r="O3" s="8"/>
      <c r="P3" s="8"/>
      <c r="Q3" s="8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8"/>
      <c r="AQ3" s="8"/>
      <c r="AR3" s="8"/>
    </row>
    <row r="4" s="1" customFormat="1" ht="28.05" customHeight="1" spans="1:72">
      <c r="A4" s="4" t="s">
        <v>6</v>
      </c>
      <c r="B4" s="13">
        <v>46204</v>
      </c>
      <c r="C4" s="8"/>
      <c r="D4" s="9" t="s">
        <v>7</v>
      </c>
      <c r="E4" s="9">
        <f>COUNTIF($H$11:$H$18,D4)</f>
        <v>5</v>
      </c>
      <c r="F4" s="10">
        <f>E4/$E$6</f>
        <v>0.625</v>
      </c>
      <c r="G4" s="8"/>
      <c r="I4" s="14" t="str">
        <f>E5&amp;"项"</f>
        <v>1项</v>
      </c>
      <c r="J4" s="15"/>
      <c r="K4" s="8"/>
      <c r="L4" s="8"/>
      <c r="M4" s="16" t="str">
        <f>SUM(J11:J18)&amp;"项"</f>
        <v>3项</v>
      </c>
      <c r="N4" s="16"/>
      <c r="O4" s="16"/>
      <c r="P4" s="8"/>
      <c r="Q4" s="8"/>
      <c r="R4" s="12"/>
      <c r="S4" s="17" t="s">
        <v>8</v>
      </c>
      <c r="T4" s="17">
        <f>E6-T5</f>
        <v>5</v>
      </c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8"/>
      <c r="AQ4" s="8"/>
      <c r="AR4" s="8"/>
    </row>
    <row r="5" s="1" customFormat="1" ht="28.05" customHeight="1" spans="1:72">
      <c r="C5" s="8"/>
      <c r="D5" s="9" t="s">
        <v>9</v>
      </c>
      <c r="E5" s="9">
        <f>COUNTIF($H$11:$H$18,D5)</f>
        <v>1</v>
      </c>
      <c r="F5" s="10">
        <f>E5/$E$6</f>
        <v>0.125</v>
      </c>
      <c r="G5" s="8"/>
      <c r="I5" s="18">
        <f>F5</f>
        <v>0.125</v>
      </c>
      <c r="J5" s="8"/>
      <c r="K5" s="8"/>
      <c r="L5" s="8"/>
      <c r="M5" s="19">
        <f>SUM(J11:J18)/E6</f>
        <v>0.375</v>
      </c>
      <c r="N5" s="19"/>
      <c r="O5" s="19"/>
      <c r="P5" s="8"/>
      <c r="Q5" s="8"/>
      <c r="R5" s="12"/>
      <c r="S5" s="17" t="s">
        <v>10</v>
      </c>
      <c r="T5" s="17">
        <f>SUM(J11:J18)</f>
        <v>3</v>
      </c>
      <c r="U5" s="12"/>
      <c r="V5" s="12"/>
      <c r="W5" s="12"/>
      <c r="X5" s="12"/>
      <c r="Y5" s="12"/>
      <c r="Z5" s="20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8"/>
      <c r="AQ5" s="8"/>
      <c r="AR5" s="8"/>
    </row>
    <row r="6" s="1" customFormat="1" ht="28.05" customHeight="1" spans="1:72">
      <c r="A6" s="8"/>
      <c r="B6" s="21"/>
      <c r="C6" s="8"/>
      <c r="D6" s="22" t="s">
        <v>11</v>
      </c>
      <c r="E6" s="22">
        <f>SUM(E3:E5)</f>
        <v>8</v>
      </c>
      <c r="F6" s="23">
        <f>SUM(F3:F5)</f>
        <v>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24"/>
      <c r="AJ6" s="12"/>
      <c r="AK6" s="12"/>
      <c r="AL6" s="12"/>
      <c r="AM6" s="12"/>
      <c r="AN6" s="12"/>
      <c r="AO6" s="12"/>
      <c r="AP6" s="8"/>
      <c r="AQ6" s="8"/>
      <c r="AR6" s="8"/>
    </row>
    <row r="7" ht="20.4" customHeight="1" spans="1:7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6"/>
      <c r="AQ7" s="26"/>
      <c r="AR7" s="26"/>
    </row>
    <row r="8" s="1" customFormat="1" ht="27" customHeight="1" spans="1:72">
      <c r="A8" s="27" t="s">
        <v>12</v>
      </c>
      <c r="B8" s="28"/>
      <c r="C8" s="28"/>
      <c r="D8" s="28"/>
      <c r="E8" s="28"/>
      <c r="F8" s="28"/>
      <c r="G8" s="28" t="s">
        <v>13</v>
      </c>
      <c r="H8" s="28"/>
      <c r="I8" s="28"/>
      <c r="J8" s="28"/>
      <c r="K8" s="28" t="str">
        <f>B3&amp;"月"</f>
        <v>7月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9"/>
      <c r="AP8" s="28" t="s">
        <v>14</v>
      </c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9"/>
    </row>
    <row r="9" s="1" customFormat="1" ht="27" customHeight="1" spans="1:72">
      <c r="A9" s="30" t="s">
        <v>15</v>
      </c>
      <c r="B9" s="31" t="s">
        <v>16</v>
      </c>
      <c r="C9" s="31" t="s">
        <v>17</v>
      </c>
      <c r="D9" s="31" t="s">
        <v>18</v>
      </c>
      <c r="E9" s="31" t="s">
        <v>19</v>
      </c>
      <c r="F9" s="31" t="s">
        <v>20</v>
      </c>
      <c r="G9" s="31" t="s">
        <v>21</v>
      </c>
      <c r="H9" s="31" t="s">
        <v>22</v>
      </c>
      <c r="I9" s="32" t="s">
        <v>23</v>
      </c>
      <c r="J9" s="32" t="s">
        <v>24</v>
      </c>
      <c r="K9" s="33" t="str">
        <f t="shared" ref="K9:BT9" si="0">TEXT(K10,"aaa")</f>
        <v>三</v>
      </c>
      <c r="L9" s="33" t="str">
        <f t="shared" si="0"/>
        <v>四</v>
      </c>
      <c r="M9" s="33" t="str">
        <f t="shared" si="0"/>
        <v>五</v>
      </c>
      <c r="N9" s="33" t="str">
        <f t="shared" si="0"/>
        <v>六</v>
      </c>
      <c r="O9" s="33" t="str">
        <f t="shared" si="0"/>
        <v>日</v>
      </c>
      <c r="P9" s="33" t="str">
        <f t="shared" si="0"/>
        <v>一</v>
      </c>
      <c r="Q9" s="33" t="str">
        <f t="shared" si="0"/>
        <v>二</v>
      </c>
      <c r="R9" s="33" t="str">
        <f t="shared" si="0"/>
        <v>三</v>
      </c>
      <c r="S9" s="33" t="str">
        <f t="shared" si="0"/>
        <v>四</v>
      </c>
      <c r="T9" s="33" t="str">
        <f t="shared" si="0"/>
        <v>五</v>
      </c>
      <c r="U9" s="33" t="str">
        <f t="shared" si="0"/>
        <v>六</v>
      </c>
      <c r="V9" s="33" t="str">
        <f t="shared" si="0"/>
        <v>日</v>
      </c>
      <c r="W9" s="33" t="str">
        <f t="shared" si="0"/>
        <v>一</v>
      </c>
      <c r="X9" s="33" t="str">
        <f t="shared" si="0"/>
        <v>二</v>
      </c>
      <c r="Y9" s="33" t="str">
        <f t="shared" si="0"/>
        <v>三</v>
      </c>
      <c r="Z9" s="33" t="str">
        <f t="shared" si="0"/>
        <v>四</v>
      </c>
      <c r="AA9" s="33" t="str">
        <f t="shared" si="0"/>
        <v>五</v>
      </c>
      <c r="AB9" s="33" t="str">
        <f t="shared" si="0"/>
        <v>六</v>
      </c>
      <c r="AC9" s="33" t="str">
        <f t="shared" si="0"/>
        <v>日</v>
      </c>
      <c r="AD9" s="33" t="str">
        <f t="shared" si="0"/>
        <v>一</v>
      </c>
      <c r="AE9" s="33" t="str">
        <f t="shared" si="0"/>
        <v>二</v>
      </c>
      <c r="AF9" s="33" t="str">
        <f t="shared" si="0"/>
        <v>三</v>
      </c>
      <c r="AG9" s="33" t="str">
        <f t="shared" si="0"/>
        <v>四</v>
      </c>
      <c r="AH9" s="33" t="str">
        <f t="shared" si="0"/>
        <v>五</v>
      </c>
      <c r="AI9" s="33" t="str">
        <f t="shared" si="0"/>
        <v>六</v>
      </c>
      <c r="AJ9" s="33" t="str">
        <f t="shared" si="0"/>
        <v>日</v>
      </c>
      <c r="AK9" s="33" t="str">
        <f t="shared" si="0"/>
        <v>一</v>
      </c>
      <c r="AL9" s="33" t="str">
        <f t="shared" si="0"/>
        <v>二</v>
      </c>
      <c r="AM9" s="33" t="str">
        <f t="shared" si="0"/>
        <v>三</v>
      </c>
      <c r="AN9" s="33" t="str">
        <f t="shared" si="0"/>
        <v>四</v>
      </c>
      <c r="AO9" s="34" t="str">
        <f t="shared" si="0"/>
        <v>五</v>
      </c>
      <c r="AP9" s="33" t="str">
        <f t="shared" si="0"/>
        <v>六</v>
      </c>
      <c r="AQ9" s="33" t="str">
        <f t="shared" si="0"/>
        <v>日</v>
      </c>
      <c r="AR9" s="33" t="str">
        <f t="shared" si="0"/>
        <v>一</v>
      </c>
      <c r="AS9" s="33" t="str">
        <f t="shared" si="0"/>
        <v>二</v>
      </c>
      <c r="AT9" s="33" t="str">
        <f t="shared" si="0"/>
        <v>三</v>
      </c>
      <c r="AU9" s="33" t="str">
        <f t="shared" si="0"/>
        <v>四</v>
      </c>
      <c r="AV9" s="33" t="str">
        <f t="shared" si="0"/>
        <v>五</v>
      </c>
      <c r="AW9" s="33" t="str">
        <f t="shared" si="0"/>
        <v>六</v>
      </c>
      <c r="AX9" s="33" t="str">
        <f t="shared" si="0"/>
        <v>日</v>
      </c>
      <c r="AY9" s="33" t="str">
        <f t="shared" si="0"/>
        <v>一</v>
      </c>
      <c r="AZ9" s="33" t="str">
        <f t="shared" si="0"/>
        <v>二</v>
      </c>
      <c r="BA9" s="33" t="str">
        <f t="shared" si="0"/>
        <v>三</v>
      </c>
      <c r="BB9" s="33" t="str">
        <f t="shared" si="0"/>
        <v>四</v>
      </c>
      <c r="BC9" s="33" t="str">
        <f t="shared" si="0"/>
        <v>五</v>
      </c>
      <c r="BD9" s="33" t="str">
        <f t="shared" si="0"/>
        <v>六</v>
      </c>
      <c r="BE9" s="33" t="str">
        <f t="shared" si="0"/>
        <v>日</v>
      </c>
      <c r="BF9" s="33" t="str">
        <f t="shared" si="0"/>
        <v>一</v>
      </c>
      <c r="BG9" s="33" t="str">
        <f t="shared" si="0"/>
        <v>二</v>
      </c>
      <c r="BH9" s="33" t="str">
        <f t="shared" si="0"/>
        <v>三</v>
      </c>
      <c r="BI9" s="33" t="str">
        <f t="shared" si="0"/>
        <v>四</v>
      </c>
      <c r="BJ9" s="33" t="str">
        <f t="shared" si="0"/>
        <v>五</v>
      </c>
      <c r="BK9" s="33" t="str">
        <f t="shared" si="0"/>
        <v>六</v>
      </c>
      <c r="BL9" s="33" t="str">
        <f t="shared" si="0"/>
        <v>日</v>
      </c>
      <c r="BM9" s="33" t="str">
        <f t="shared" si="0"/>
        <v>一</v>
      </c>
      <c r="BN9" s="33" t="str">
        <f t="shared" si="0"/>
        <v>二</v>
      </c>
      <c r="BO9" s="33" t="str">
        <f t="shared" si="0"/>
        <v>三</v>
      </c>
      <c r="BP9" s="33" t="str">
        <f t="shared" si="0"/>
        <v>四</v>
      </c>
      <c r="BQ9" s="33" t="str">
        <f t="shared" si="0"/>
        <v>五</v>
      </c>
      <c r="BR9" s="33" t="str">
        <f t="shared" si="0"/>
        <v>六</v>
      </c>
      <c r="BS9" s="33" t="str">
        <f t="shared" si="0"/>
        <v>日</v>
      </c>
      <c r="BT9" s="34" t="str">
        <f t="shared" si="0"/>
        <v>一</v>
      </c>
    </row>
    <row r="10" s="1" customFormat="1" ht="27" customHeight="1" spans="1:72">
      <c r="A10" s="35"/>
      <c r="B10" s="36"/>
      <c r="C10" s="36"/>
      <c r="D10" s="36"/>
      <c r="E10" s="36"/>
      <c r="F10" s="36"/>
      <c r="G10" s="36"/>
      <c r="H10" s="36"/>
      <c r="I10" s="36"/>
      <c r="J10" s="37"/>
      <c r="K10" s="38">
        <f>DATE(B2,B3,1)</f>
        <v>46204</v>
      </c>
      <c r="L10" s="38">
        <f t="shared" ref="L10:AO10" si="1">K10+1</f>
        <v>46205</v>
      </c>
      <c r="M10" s="38">
        <f t="shared" si="1"/>
        <v>46206</v>
      </c>
      <c r="N10" s="38">
        <f t="shared" si="1"/>
        <v>46207</v>
      </c>
      <c r="O10" s="38">
        <f t="shared" si="1"/>
        <v>46208</v>
      </c>
      <c r="P10" s="38">
        <f t="shared" si="1"/>
        <v>46209</v>
      </c>
      <c r="Q10" s="38">
        <f t="shared" si="1"/>
        <v>46210</v>
      </c>
      <c r="R10" s="38">
        <f t="shared" si="1"/>
        <v>46211</v>
      </c>
      <c r="S10" s="38">
        <f t="shared" si="1"/>
        <v>46212</v>
      </c>
      <c r="T10" s="38">
        <f t="shared" si="1"/>
        <v>46213</v>
      </c>
      <c r="U10" s="38">
        <f t="shared" si="1"/>
        <v>46214</v>
      </c>
      <c r="V10" s="38">
        <f t="shared" si="1"/>
        <v>46215</v>
      </c>
      <c r="W10" s="38">
        <f t="shared" si="1"/>
        <v>46216</v>
      </c>
      <c r="X10" s="38">
        <f t="shared" si="1"/>
        <v>46217</v>
      </c>
      <c r="Y10" s="38">
        <f t="shared" si="1"/>
        <v>46218</v>
      </c>
      <c r="Z10" s="38">
        <f t="shared" si="1"/>
        <v>46219</v>
      </c>
      <c r="AA10" s="38">
        <f t="shared" si="1"/>
        <v>46220</v>
      </c>
      <c r="AB10" s="38">
        <f t="shared" si="1"/>
        <v>46221</v>
      </c>
      <c r="AC10" s="38">
        <f t="shared" si="1"/>
        <v>46222</v>
      </c>
      <c r="AD10" s="38">
        <f t="shared" si="1"/>
        <v>46223</v>
      </c>
      <c r="AE10" s="38">
        <f t="shared" si="1"/>
        <v>46224</v>
      </c>
      <c r="AF10" s="38">
        <f t="shared" si="1"/>
        <v>46225</v>
      </c>
      <c r="AG10" s="38">
        <f t="shared" si="1"/>
        <v>46226</v>
      </c>
      <c r="AH10" s="38">
        <f t="shared" si="1"/>
        <v>46227</v>
      </c>
      <c r="AI10" s="38">
        <f t="shared" si="1"/>
        <v>46228</v>
      </c>
      <c r="AJ10" s="38">
        <f t="shared" si="1"/>
        <v>46229</v>
      </c>
      <c r="AK10" s="38">
        <f t="shared" si="1"/>
        <v>46230</v>
      </c>
      <c r="AL10" s="38">
        <f t="shared" si="1"/>
        <v>46231</v>
      </c>
      <c r="AM10" s="38">
        <f t="shared" si="1"/>
        <v>46232</v>
      </c>
      <c r="AN10" s="38">
        <f t="shared" si="1"/>
        <v>46233</v>
      </c>
      <c r="AO10" s="39">
        <f t="shared" si="1"/>
        <v>46234</v>
      </c>
      <c r="AP10" s="38">
        <v>46235</v>
      </c>
      <c r="AQ10" s="38">
        <f t="shared" ref="AQ10:BT10" si="2">AP10+1</f>
        <v>46236</v>
      </c>
      <c r="AR10" s="38">
        <f t="shared" si="2"/>
        <v>46237</v>
      </c>
      <c r="AS10" s="38">
        <f t="shared" si="2"/>
        <v>46238</v>
      </c>
      <c r="AT10" s="38">
        <f t="shared" si="2"/>
        <v>46239</v>
      </c>
      <c r="AU10" s="38">
        <f t="shared" si="2"/>
        <v>46240</v>
      </c>
      <c r="AV10" s="38">
        <f t="shared" si="2"/>
        <v>46241</v>
      </c>
      <c r="AW10" s="38">
        <f t="shared" si="2"/>
        <v>46242</v>
      </c>
      <c r="AX10" s="38">
        <f t="shared" si="2"/>
        <v>46243</v>
      </c>
      <c r="AY10" s="38">
        <f t="shared" si="2"/>
        <v>46244</v>
      </c>
      <c r="AZ10" s="38">
        <f t="shared" si="2"/>
        <v>46245</v>
      </c>
      <c r="BA10" s="38">
        <f t="shared" si="2"/>
        <v>46246</v>
      </c>
      <c r="BB10" s="38">
        <f t="shared" si="2"/>
        <v>46247</v>
      </c>
      <c r="BC10" s="38">
        <f t="shared" si="2"/>
        <v>46248</v>
      </c>
      <c r="BD10" s="38">
        <f t="shared" si="2"/>
        <v>46249</v>
      </c>
      <c r="BE10" s="38">
        <f t="shared" si="2"/>
        <v>46250</v>
      </c>
      <c r="BF10" s="38">
        <f t="shared" si="2"/>
        <v>46251</v>
      </c>
      <c r="BG10" s="38">
        <f t="shared" si="2"/>
        <v>46252</v>
      </c>
      <c r="BH10" s="38">
        <f t="shared" si="2"/>
        <v>46253</v>
      </c>
      <c r="BI10" s="38">
        <f t="shared" si="2"/>
        <v>46254</v>
      </c>
      <c r="BJ10" s="38">
        <f t="shared" si="2"/>
        <v>46255</v>
      </c>
      <c r="BK10" s="38">
        <f t="shared" si="2"/>
        <v>46256</v>
      </c>
      <c r="BL10" s="38">
        <f t="shared" si="2"/>
        <v>46257</v>
      </c>
      <c r="BM10" s="38">
        <f t="shared" si="2"/>
        <v>46258</v>
      </c>
      <c r="BN10" s="38">
        <f t="shared" si="2"/>
        <v>46259</v>
      </c>
      <c r="BO10" s="38">
        <f t="shared" si="2"/>
        <v>46260</v>
      </c>
      <c r="BP10" s="38">
        <f t="shared" si="2"/>
        <v>46261</v>
      </c>
      <c r="BQ10" s="38">
        <f t="shared" si="2"/>
        <v>46262</v>
      </c>
      <c r="BR10" s="38">
        <f t="shared" si="2"/>
        <v>46263</v>
      </c>
      <c r="BS10" s="38">
        <f t="shared" si="2"/>
        <v>46264</v>
      </c>
      <c r="BT10" s="39">
        <f t="shared" si="2"/>
        <v>46265</v>
      </c>
    </row>
    <row r="11" s="1" customFormat="1" ht="27" customHeight="1" spans="1:72">
      <c r="A11" s="40">
        <v>1</v>
      </c>
      <c r="B11" s="41" t="s">
        <v>25</v>
      </c>
      <c r="C11" s="42" t="s">
        <v>26</v>
      </c>
      <c r="D11" s="43">
        <v>46205</v>
      </c>
      <c r="E11" s="44">
        <v>46207</v>
      </c>
      <c r="F11" s="45" t="str">
        <f t="shared" ref="F11:F18" si="3">E11-D11+1&amp;"天"</f>
        <v>3天</v>
      </c>
      <c r="G11" s="46">
        <v>0.3</v>
      </c>
      <c r="H11" s="47" t="s">
        <v>7</v>
      </c>
      <c r="I11" s="42" t="str">
        <f t="shared" ref="I11:I18" si="4">IF(H11="已完成",1,"")</f>
        <v/>
      </c>
      <c r="J11" s="42" t="str">
        <f t="shared" ref="J11:J18" si="5">IF(AND($B$4&gt;E11,H11&lt;&gt;"已完成"),1,"")</f>
        <v/>
      </c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8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8"/>
    </row>
    <row r="12" s="1" customFormat="1" ht="27" customHeight="1" spans="1:72">
      <c r="A12" s="49"/>
      <c r="B12" s="50"/>
      <c r="C12" s="51" t="s">
        <v>27</v>
      </c>
      <c r="D12" s="52">
        <v>46205</v>
      </c>
      <c r="E12" s="53">
        <v>46207</v>
      </c>
      <c r="F12" s="54" t="str">
        <f t="shared" si="3"/>
        <v>3天</v>
      </c>
      <c r="G12" s="55">
        <v>0.3</v>
      </c>
      <c r="H12" s="56" t="s">
        <v>7</v>
      </c>
      <c r="I12" s="51" t="str">
        <f t="shared" si="4"/>
        <v/>
      </c>
      <c r="J12" s="51" t="str">
        <f t="shared" si="5"/>
        <v/>
      </c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7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7"/>
    </row>
    <row r="13" s="1" customFormat="1" ht="27" customHeight="1" spans="1:72">
      <c r="A13" s="58">
        <v>2</v>
      </c>
      <c r="B13" s="42" t="s">
        <v>28</v>
      </c>
      <c r="C13" s="42" t="s">
        <v>29</v>
      </c>
      <c r="D13" s="43">
        <v>46205</v>
      </c>
      <c r="E13" s="43">
        <v>46234</v>
      </c>
      <c r="F13" s="45" t="str">
        <f t="shared" si="3"/>
        <v>30天</v>
      </c>
      <c r="G13" s="46">
        <v>0.026</v>
      </c>
      <c r="H13" s="47" t="s">
        <v>7</v>
      </c>
      <c r="I13" s="42" t="str">
        <f t="shared" si="4"/>
        <v/>
      </c>
      <c r="J13" s="42" t="str">
        <f t="shared" si="5"/>
        <v/>
      </c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8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8"/>
    </row>
    <row r="14" s="1" customFormat="1" ht="27" customHeight="1" spans="1:72">
      <c r="A14" s="58">
        <v>3</v>
      </c>
      <c r="B14" s="42" t="s">
        <v>30</v>
      </c>
      <c r="C14" s="42" t="s">
        <v>31</v>
      </c>
      <c r="D14" s="43">
        <v>46205</v>
      </c>
      <c r="E14" s="43">
        <v>46234</v>
      </c>
      <c r="F14" s="45" t="str">
        <f t="shared" si="3"/>
        <v>30天</v>
      </c>
      <c r="G14" s="46">
        <v>0.03</v>
      </c>
      <c r="H14" s="47" t="s">
        <v>7</v>
      </c>
      <c r="I14" s="42" t="str">
        <f t="shared" si="4"/>
        <v/>
      </c>
      <c r="J14" s="42" t="str">
        <f t="shared" si="5"/>
        <v/>
      </c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8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8"/>
    </row>
    <row r="15" s="1" customFormat="1" ht="27" customHeight="1" spans="1:72">
      <c r="A15" s="58">
        <v>4</v>
      </c>
      <c r="B15" s="42" t="s">
        <v>30</v>
      </c>
      <c r="C15" s="42" t="s">
        <v>32</v>
      </c>
      <c r="D15" s="43">
        <v>45532</v>
      </c>
      <c r="E15" s="43">
        <v>45540</v>
      </c>
      <c r="F15" s="45" t="str">
        <f t="shared" si="3"/>
        <v>9天</v>
      </c>
      <c r="G15" s="59">
        <v>1</v>
      </c>
      <c r="H15" s="47" t="s">
        <v>9</v>
      </c>
      <c r="I15" s="42">
        <f t="shared" si="4"/>
        <v>1</v>
      </c>
      <c r="J15" s="42" t="str">
        <f t="shared" si="5"/>
        <v/>
      </c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8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8"/>
    </row>
    <row r="16" s="1" customFormat="1" ht="27" customHeight="1" spans="1:72">
      <c r="A16" s="60"/>
      <c r="B16" s="51"/>
      <c r="C16" s="51" t="s">
        <v>33</v>
      </c>
      <c r="D16" s="52">
        <v>45539</v>
      </c>
      <c r="E16" s="52">
        <v>45553</v>
      </c>
      <c r="F16" s="54" t="str">
        <f t="shared" si="3"/>
        <v>15天</v>
      </c>
      <c r="G16" s="61">
        <v>0.2</v>
      </c>
      <c r="H16" s="56" t="s">
        <v>7</v>
      </c>
      <c r="I16" s="51" t="str">
        <f t="shared" si="4"/>
        <v/>
      </c>
      <c r="J16" s="51">
        <f t="shared" si="5"/>
        <v>1</v>
      </c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7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7"/>
    </row>
    <row r="17" s="1" customFormat="1" ht="27" customHeight="1" spans="1:72">
      <c r="A17" s="60"/>
      <c r="B17" s="51"/>
      <c r="C17" s="51" t="s">
        <v>34</v>
      </c>
      <c r="D17" s="52">
        <v>45545</v>
      </c>
      <c r="E17" s="52">
        <v>45555</v>
      </c>
      <c r="F17" s="54" t="str">
        <f t="shared" si="3"/>
        <v>11天</v>
      </c>
      <c r="G17" s="61">
        <v>0</v>
      </c>
      <c r="H17" s="56" t="s">
        <v>5</v>
      </c>
      <c r="I17" s="51" t="str">
        <f t="shared" si="4"/>
        <v/>
      </c>
      <c r="J17" s="51">
        <f t="shared" si="5"/>
        <v>1</v>
      </c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7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7"/>
    </row>
    <row r="18" s="1" customFormat="1" ht="27" customHeight="1" spans="1:72">
      <c r="A18" s="62"/>
      <c r="B18" s="63"/>
      <c r="C18" s="63" t="s">
        <v>35</v>
      </c>
      <c r="D18" s="64">
        <v>45553</v>
      </c>
      <c r="E18" s="64">
        <v>45596</v>
      </c>
      <c r="F18" s="65" t="str">
        <f t="shared" si="3"/>
        <v>44天</v>
      </c>
      <c r="G18" s="66">
        <v>0</v>
      </c>
      <c r="H18" s="67" t="s">
        <v>5</v>
      </c>
      <c r="I18" s="63" t="str">
        <f t="shared" si="4"/>
        <v/>
      </c>
      <c r="J18" s="63">
        <f t="shared" si="5"/>
        <v>1</v>
      </c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8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8"/>
    </row>
    <row r="19" s="2" customFormat="1" ht="25.05" customHeight="1" spans="1:72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</row>
    <row r="20" spans="1:72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</row>
    <row r="22" spans="1:72">
      <c r="H22" s="70"/>
    </row>
  </sheetData>
  <mergeCells count="20">
    <mergeCell ref="M4:O4"/>
    <mergeCell ref="M5:O5"/>
    <mergeCell ref="A8:F8"/>
    <mergeCell ref="G8:J8"/>
    <mergeCell ref="K8:AO8"/>
    <mergeCell ref="AP8:BT8"/>
    <mergeCell ref="A9:A10"/>
    <mergeCell ref="A11:A12"/>
    <mergeCell ref="A15:A18"/>
    <mergeCell ref="B9:B10"/>
    <mergeCell ref="B11:B12"/>
    <mergeCell ref="B15:B18"/>
    <mergeCell ref="C9:C10"/>
    <mergeCell ref="D9:D10"/>
    <mergeCell ref="E9:E10"/>
    <mergeCell ref="F9:F10"/>
    <mergeCell ref="G9:G10"/>
    <mergeCell ref="H9:H10"/>
    <mergeCell ref="I9:I10"/>
    <mergeCell ref="J9:J10"/>
  </mergeCells>
  <conditionalFormatting sqref="E3:E5">
    <cfRule type="dataBar" priority="5">
      <dataBar>
        <cfvo type="min"/>
        <cfvo type="max"/>
        <color rgb="FF92DFCB"/>
      </dataBar>
      <extLst>
        <ext xmlns:x14="http://schemas.microsoft.com/office/spreadsheetml/2009/9/main" uri="{B025F937-C7B1-47D3-B67F-A62EFF666E3E}">
          <x14:id>{7f2923cd-1f76-4e5a-ab62-ae53cf59f517}</x14:id>
        </ext>
      </extLst>
    </cfRule>
  </conditionalFormatting>
  <conditionalFormatting sqref="G11:G18">
    <cfRule type="dataBar" priority="7">
      <dataBar>
        <cfvo type="num" val="0"/>
        <cfvo type="num" val="1"/>
        <color rgb="FF92DFCB"/>
      </dataBar>
      <extLst>
        <ext xmlns:x14="http://schemas.microsoft.com/office/spreadsheetml/2009/9/main" uri="{B025F937-C7B1-47D3-B67F-A62EFF666E3E}">
          <x14:id>{b94c47f0-13df-4c06-ae2f-5148059844d3}</x14:id>
        </ext>
      </extLst>
    </cfRule>
  </conditionalFormatting>
  <conditionalFormatting sqref="H11:H18">
    <cfRule type="containsText" dxfId="0" priority="2" operator="between" text="未开始">
      <formula>NOT(ISERROR(SEARCH("未开始",H11)))</formula>
    </cfRule>
    <cfRule type="containsText" dxfId="1" priority="3" operator="between" text="进行中">
      <formula>NOT(ISERROR(SEARCH("进行中",H11)))</formula>
    </cfRule>
    <cfRule type="containsText" dxfId="2" priority="4" operator="between" text="已完成">
      <formula>NOT(ISERROR(SEARCH("已完成",H11)))</formula>
    </cfRule>
  </conditionalFormatting>
  <conditionalFormatting sqref="I11:I18">
    <cfRule type="iconSet" priority="8">
      <iconSet iconSet="3Symbols2" showValue="0">
        <cfvo type="percent" val="0"/>
        <cfvo type="num" val="0"/>
        <cfvo type="num" val="0"/>
      </iconSet>
    </cfRule>
  </conditionalFormatting>
  <conditionalFormatting sqref="K11:AO18">
    <cfRule type="expression" dxfId="3" priority="6">
      <formula>AND(K$10&gt;=$D11,K$10&lt;=$E11)</formula>
    </cfRule>
  </conditionalFormatting>
  <conditionalFormatting sqref="AP11:BT18">
    <cfRule type="expression" dxfId="3" priority="1">
      <formula>AND(AP$10&gt;=$D11,AP$10&lt;=$E11)</formula>
    </cfRule>
  </conditionalFormatting>
  <dataValidations count="1">
    <dataValidation type="list" allowBlank="1" showInputMessage="1" showErrorMessage="1" sqref="H11:H18">
      <formula1>"未开始,进行中,已完成"</formula1>
    </dataValidation>
  </dataValidations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2923cd-1f76-4e5a-ab62-ae53cf59f517}">
            <x14:dataBar minLength="0" maxLength="100" border="1" negativeBarBorderColorSameAsPositive="0">
              <x14:cfvo type="autoMin"/>
              <x14:cfvo type="autoMax"/>
              <x14:borderColor rgb="FF92DFCB"/>
              <x14:negativeFillColor rgb="FFFF0000"/>
              <x14:negativeBorderColor rgb="FFFF0000"/>
              <x14:axisColor rgb="FF000000"/>
            </x14:dataBar>
          </x14:cfRule>
          <xm:sqref>E3:E5</xm:sqref>
        </x14:conditionalFormatting>
        <x14:conditionalFormatting xmlns:xm="http://schemas.microsoft.com/office/excel/2006/main">
          <x14:cfRule type="dataBar" id="{b94c47f0-13df-4c06-ae2f-5148059844d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92DFCB"/>
              <x14:negativeFillColor rgb="FFFF0000"/>
              <x14:negativeBorderColor rgb="FFFF0000"/>
              <x14:axisColor rgb="FF000000"/>
            </x14:dataBar>
          </x14:cfRule>
          <xm:sqref>G11:G18</xm:sqref>
        </x14:conditionalFormatting>
        <x14:conditionalFormatting xmlns:xm="http://schemas.microsoft.com/office/excel/2006/main">
          <x14:cfRule type="iconSet" priority="9" id="{f4d5f66d-a843-4546-a4b6-be98374d63d8}">
            <x14:iconSet iconSet="3TrafficLight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2" iconId="0"/>
              <x14:cfIcon iconSet="3TrafficLights2" iconId="1"/>
              <x14:cfIcon iconSet="3TrafficLights1" iconId="0"/>
            </x14:iconSet>
          </x14:cfRule>
          <xm:sqref>J11:J18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YunCh</dc:creator>
  <cp:lastModifiedBy>王云超0110</cp:lastModifiedBy>
  <dcterms:created xsi:type="dcterms:W3CDTF">2026-07-01T13:51:00Z</dcterms:created>
  <dcterms:modified xsi:type="dcterms:W3CDTF">2026-07-02T14:45:15Z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62EB9FBF688E4DAC88C5F0562CDE4700_11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